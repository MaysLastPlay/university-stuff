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CC59124C-7BF1-4FE1-9D9B-5F22A07BC0D5}" xr6:coauthVersionLast="37" xr6:coauthVersionMax="37" xr10:uidLastSave="{00000000-0000-0000-0000-000000000000}"/>
  <bookViews>
    <workbookView xWindow="0" yWindow="0" windowWidth="12240" windowHeight="6420" xr2:uid="{967B4998-AAC9-4797-8C1F-823D3A4258A8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<sst xmlns="http://schemas.openxmlformats.org/spreadsheetml/2006/main" count="2" uniqueCount="2">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</sst>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Аркуш1!$A$2:$A$19</c:f>
              <c:numCache>
                <c:formatCode>General</c:formatCode>
                <c:ptCount val="18"/>
                <c:pt idx="0">
                  <c:v>28</c:v>
                </c:pt>
                <c:pt idx="1">
                  <c:v>29</c:v>
                </c:pt>
                <c:pt idx="2">
                  <c:v>32</c:v>
                </c:pt>
                <c:pt idx="3">
                  <c:v>35</c:v>
                </c:pt>
                <c:pt idx="4">
                  <c:v>40</c:v>
                </c:pt>
                <c:pt idx="5">
                  <c:v>44</c:v>
                </c:pt>
                <c:pt idx="6">
                  <c:v>45</c:v>
                </c:pt>
                <c:pt idx="7">
                  <c:v>51</c:v>
                </c:pt>
                <c:pt idx="8">
                  <c:v>53</c:v>
                </c:pt>
                <c:pt idx="9">
                  <c:v>64</c:v>
                </c:pt>
                <c:pt idx="10">
                  <c:v>65</c:v>
                </c:pt>
                <c:pt idx="11">
                  <c:v>73</c:v>
                </c:pt>
                <c:pt idx="12">
                  <c:v>75</c:v>
                </c:pt>
                <c:pt idx="13">
                  <c:v>80</c:v>
                </c:pt>
                <c:pt idx="14">
                  <c:v>83</c:v>
                </c:pt>
                <c:pt idx="15">
                  <c:v>93</c:v>
                </c:pt>
                <c:pt idx="16">
                  <c:v>95</c:v>
                </c:pt>
                <c:pt idx="17">
                  <c:v>99</c:v>
                </c:pt>
              </c:numCache>
            </c:numRef>
          </c:xVal>
          <c:yVal>
            <c:numRef>
              <c:f>Аркуш1!$B$2:$B$19</c:f>
              <c:numCache>
                <c:formatCode>0.0</c:formatCode>
                <c:ptCount val="18"/>
                <c:pt idx="0">
                  <c:v>5.3</c:v>
                </c:pt>
                <c:pt idx="1">
                  <c:v>9.1999999999999993</c:v>
                </c:pt>
                <c:pt idx="2">
                  <c:v>15.2</c:v>
                </c:pt>
                <c:pt idx="3">
                  <c:v>20.7</c:v>
                </c:pt>
                <c:pt idx="4">
                  <c:v>21.7</c:v>
                </c:pt>
                <c:pt idx="5">
                  <c:v>36.5</c:v>
                </c:pt>
                <c:pt idx="6">
                  <c:v>39.299999999999997</c:v>
                </c:pt>
                <c:pt idx="7">
                  <c:v>52.7</c:v>
                </c:pt>
                <c:pt idx="8">
                  <c:v>55.4</c:v>
                </c:pt>
                <c:pt idx="9">
                  <c:v>76</c:v>
                </c:pt>
                <c:pt idx="10">
                  <c:v>79.099999999999994</c:v>
                </c:pt>
                <c:pt idx="11">
                  <c:v>94.8</c:v>
                </c:pt>
                <c:pt idx="12">
                  <c:v>101.1</c:v>
                </c:pt>
                <c:pt idx="13">
                  <c:v>89.5</c:v>
                </c:pt>
                <c:pt idx="14">
                  <c:v>114.8</c:v>
                </c:pt>
                <c:pt idx="15">
                  <c:v>137.4</c:v>
                </c:pt>
                <c:pt idx="16">
                  <c:v>138.19999999999999</c:v>
                </c:pt>
                <c:pt idx="17">
                  <c:v>150.30000000000001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B-40BE-9BC1-663C3545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459824"/>
        <c:axId val="1252069264"/>
      </c:scatterChart>
      <c:valAx>
        <c:axId val="171545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52069264"/>
        <c:crosses val="autoZero"/>
        <c:crossBetween val="midCat"/>
      </c:valAx>
      <c:valAx>
        <c:axId val="125206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1545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</xdr:row>
      <xdr:rowOff>22860</xdr:rowOff>
    </xdr:from>
    <xdr:to>
      <xdr:col>9</xdr:col>
      <xdr:colOff>320040</xdr:colOff>
      <xdr:row>19</xdr:row>
      <xdr:rowOff>22860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BAE26F6-8944-4298-B8C7-4AC95C362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D79-EF70-4A24-8315-80FB36572B4F}">
  <dimension ref="A1:D19"/>
  <sheetViews>
    <sheetView tabSelected="1" workbookViewId="0">
      <selection activeCell="K6" sqref="K6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28</v>
      </c>
      <c r="B2" s="1">
        <v>5.3</v>
      </c>
      <c r="D2">
        <f>SLOPE(B2:B19, A2:A19)</f>
        <v>1.9753251261165363</v>
      </c>
    </row>
    <row r="3" spans="1:4" x14ac:dyDescent="0.3">
      <c r="A3">
        <v>29</v>
      </c>
      <c r="B3" s="1">
        <v>9.1999999999999993</v>
      </c>
      <c r="D3">
        <f>INTERCEPT(B2:B19, A2:A19)</f>
        <v>-50.225135372795862</v>
      </c>
    </row>
    <row r="4" spans="1:4" x14ac:dyDescent="0.3">
      <c r="A4">
        <v>32</v>
      </c>
      <c r="B4" s="1">
        <v>15.2</v>
      </c>
      <c r="D4">
        <f>CORREL(A2:A19, B2:B19)</f>
        <v>0.99395143778687245</v>
      </c>
    </row>
    <row r="5" spans="1:4" x14ac:dyDescent="0.3">
      <c r="A5">
        <v>35</v>
      </c>
      <c r="B5" s="1">
        <v>20.7</v>
      </c>
    </row>
    <row r="6" spans="1:4" x14ac:dyDescent="0.3">
      <c r="A6">
        <v>40</v>
      </c>
      <c r="B6" s="1">
        <v>21.7</v>
      </c>
    </row>
    <row r="7" spans="1:4" x14ac:dyDescent="0.3">
      <c r="A7">
        <v>44</v>
      </c>
      <c r="B7" s="1">
        <v>36.5</v>
      </c>
    </row>
    <row r="8" spans="1:4" x14ac:dyDescent="0.3">
      <c r="A8">
        <v>45</v>
      </c>
      <c r="B8" s="1">
        <v>39.299999999999997</v>
      </c>
    </row>
    <row r="9" spans="1:4" x14ac:dyDescent="0.3">
      <c r="A9">
        <v>51</v>
      </c>
      <c r="B9" s="1">
        <v>52.7</v>
      </c>
    </row>
    <row r="10" spans="1:4" x14ac:dyDescent="0.3">
      <c r="A10">
        <v>53</v>
      </c>
      <c r="B10" s="1">
        <v>55.4</v>
      </c>
    </row>
    <row r="11" spans="1:4" x14ac:dyDescent="0.3">
      <c r="A11">
        <v>64</v>
      </c>
      <c r="B11" s="1">
        <v>76</v>
      </c>
    </row>
    <row r="12" spans="1:4" x14ac:dyDescent="0.3">
      <c r="A12">
        <v>65</v>
      </c>
      <c r="B12" s="1">
        <v>79.099999999999994</v>
      </c>
    </row>
    <row r="13" spans="1:4" x14ac:dyDescent="0.3">
      <c r="A13">
        <v>73</v>
      </c>
      <c r="B13" s="1">
        <v>94.8</v>
      </c>
    </row>
    <row r="14" spans="1:4" x14ac:dyDescent="0.3">
      <c r="A14">
        <v>75</v>
      </c>
      <c r="B14" s="1">
        <v>101.1</v>
      </c>
    </row>
    <row r="15" spans="1:4" x14ac:dyDescent="0.3">
      <c r="A15">
        <v>80</v>
      </c>
      <c r="B15" s="1">
        <v>89.5</v>
      </c>
    </row>
    <row r="16" spans="1:4" x14ac:dyDescent="0.3">
      <c r="A16">
        <v>83</v>
      </c>
      <c r="B16" s="1">
        <v>114.8</v>
      </c>
    </row>
    <row r="17" spans="1:2" x14ac:dyDescent="0.3">
      <c r="A17">
        <v>93</v>
      </c>
      <c r="B17" s="1">
        <v>137.4</v>
      </c>
    </row>
    <row r="18" spans="1:2" x14ac:dyDescent="0.3">
      <c r="A18">
        <v>95</v>
      </c>
      <c r="B18" s="1">
        <v>138.19999999999999</v>
      </c>
    </row>
    <row r="19" spans="1:2" x14ac:dyDescent="0.3">
      <c r="A19">
        <v>99</v>
      </c>
      <c r="B19" s="1">
        <v>150.30000000000001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2026-05-13T06:17:38Z</dcterms:created>
  <dcterms:modified xsi:type="dcterms:W3CDTF">2026-05-13T06:47:12Z</dcterms:modified>
</cp:coreProperties>
</file>