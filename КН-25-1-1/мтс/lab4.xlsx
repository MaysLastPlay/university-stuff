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S University Code\мтс\"/>
    </mc:Choice>
  </mc:AlternateContent>
  <xr:revisionPtr revIDLastSave="0" documentId="13_ncr:1_{94EF46D7-7A35-4964-8D6B-646BED7E5175}" xr6:coauthVersionLast="37" xr6:coauthVersionMax="37" xr10:uidLastSave="{00000000-0000-0000-0000-000000000000}"/>
  <bookViews>
    <workbookView xWindow="0" yWindow="0" windowWidth="17256" windowHeight="6096" xr2:uid="{DE0A5A9B-B80A-439D-B38A-A30115524E3C}"/>
  </bookViews>
  <sheets>
    <sheet name="Аркуш1" sheetId="1" r:id="rId1"/>
  </sheets>
  <definedNames>
    <definedName name="solver_adj" localSheetId="0" hidden="1">Аркуш1!$B$33:$B$35</definedName>
    <definedName name="solver_cvg" localSheetId="0" hidden="1">0.0001</definedName>
    <definedName name="solver_drv" localSheetId="0" hidden="1">2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Аркуш1!$B$36</definedName>
    <definedName name="solver_lhs2" localSheetId="0" hidden="1">Аркуш1!$D$36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Аркуш1!$C$36</definedName>
    <definedName name="solver_pre" localSheetId="0" hidden="1">0.000001</definedName>
    <definedName name="solver_rbv" localSheetId="0" hidden="1">2</definedName>
    <definedName name="solver_rel1" localSheetId="0" hidden="1">2</definedName>
    <definedName name="solver_rel2" localSheetId="0" hidden="1">2</definedName>
    <definedName name="solver_rhs1" localSheetId="0" hidden="1">1</definedName>
    <definedName name="solver_rhs2" localSheetId="0" hidden="1">5.9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2.3</definedName>
    <definedName name="solver_ver" localSheetId="0" hidden="1">3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6" i="1" l="1"/>
  <c r="D35" i="1"/>
  <c r="D34" i="1"/>
  <c r="D33" i="1"/>
  <c r="C33" i="1"/>
  <c r="C35" i="1"/>
  <c r="C34" i="1"/>
  <c r="D3" i="1"/>
  <c r="H30" i="1"/>
  <c r="G30" i="1"/>
  <c r="F30" i="1"/>
  <c r="F27" i="1"/>
  <c r="H27" i="1"/>
  <c r="G27" i="1"/>
  <c r="H24" i="1"/>
  <c r="G24" i="1"/>
  <c r="F24" i="1"/>
  <c r="H21" i="1"/>
  <c r="G21" i="1"/>
  <c r="F21" i="1"/>
  <c r="F18" i="1"/>
  <c r="H18" i="1"/>
  <c r="G18" i="1"/>
  <c r="H15" i="1"/>
  <c r="G15" i="1"/>
  <c r="F15" i="1"/>
  <c r="D36" i="1" l="1"/>
  <c r="C36" i="1"/>
  <c r="E11" i="1"/>
  <c r="D10" i="1"/>
  <c r="D12" i="1" s="1"/>
  <c r="E12" i="1" s="1"/>
  <c r="C12" i="1"/>
  <c r="D11" i="1"/>
  <c r="B12" i="1"/>
  <c r="H2" i="1"/>
  <c r="G2" i="1"/>
  <c r="D2" i="1"/>
  <c r="D4" i="1"/>
  <c r="D5" i="1"/>
  <c r="D6" i="1"/>
  <c r="F2" i="1"/>
  <c r="C6" i="1"/>
  <c r="C5" i="1"/>
  <c r="C4" i="1"/>
  <c r="C3" i="1"/>
  <c r="C2" i="1"/>
  <c r="I2" i="1"/>
</calcChain>
</file>

<file path=xl/sharedStrings.xml><?xml version="1.0" encoding="utf-8"?>
<sst xmlns="http://schemas.openxmlformats.org/spreadsheetml/2006/main" count="58" uniqueCount="17">
  <si>
    <t>X</t>
  </si>
  <si>
    <t>P</t>
  </si>
  <si>
    <t>X*P</t>
  </si>
  <si>
    <t>(X*2)*P</t>
  </si>
  <si>
    <t>M(X)</t>
  </si>
  <si>
    <t>M(X*2)</t>
  </si>
  <si>
    <t>D(X)</t>
  </si>
  <si>
    <t>лянда(X)</t>
  </si>
  <si>
    <t>x</t>
  </si>
  <si>
    <t>p</t>
  </si>
  <si>
    <t>x*p</t>
  </si>
  <si>
    <t>M(Y)</t>
  </si>
  <si>
    <t>D(Y)</t>
  </si>
  <si>
    <t>D(Z)</t>
  </si>
  <si>
    <t>M(Z)</t>
  </si>
  <si>
    <t>лянда (Z)</t>
  </si>
  <si>
    <t>x^2*p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</si>
</sst>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CC16A-9832-47F4-8D62-00AAF9C95822}">
  <dimension ref="A1:I36"/>
  <sheetViews>
    <sheetView tabSelected="1" workbookViewId="0">
      <selection activeCell="D37" sqref="D37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>
        <v>14</v>
      </c>
      <c r="B2">
        <v>0.1</v>
      </c>
      <c r="C2">
        <f>A2*B2</f>
        <v>1.4000000000000001</v>
      </c>
      <c r="D2">
        <f>(A2^2)*B2</f>
        <v>19.600000000000001</v>
      </c>
      <c r="F2">
        <f>SUM(C2:C6)</f>
        <v>18.05</v>
      </c>
      <c r="G2">
        <f>SUM(D2:D6)</f>
        <v>343.85</v>
      </c>
      <c r="H2">
        <f>G2-(F2^2)</f>
        <v>18.047500000000014</v>
      </c>
      <c r="I2">
        <f>SQRT(H2)</f>
        <v>4.2482349275905182</v>
      </c>
    </row>
    <row r="3" spans="1:9" x14ac:dyDescent="0.3">
      <c r="A3">
        <v>15</v>
      </c>
      <c r="B3">
        <v>0.35</v>
      </c>
      <c r="C3">
        <f>A3*B3</f>
        <v>5.25</v>
      </c>
      <c r="D3">
        <f>(A3^2)*B3</f>
        <v>78.75</v>
      </c>
    </row>
    <row r="4" spans="1:9" x14ac:dyDescent="0.3">
      <c r="A4">
        <v>17</v>
      </c>
      <c r="B4">
        <v>0.3</v>
      </c>
      <c r="C4">
        <f>A4*B4</f>
        <v>5.0999999999999996</v>
      </c>
      <c r="D4">
        <f>(A4^2)*B4</f>
        <v>86.7</v>
      </c>
    </row>
    <row r="5" spans="1:9" x14ac:dyDescent="0.3">
      <c r="A5">
        <v>25</v>
      </c>
      <c r="B5">
        <v>0.2</v>
      </c>
      <c r="C5">
        <f>A5*B5</f>
        <v>5</v>
      </c>
      <c r="D5">
        <f>(A5^2)*B5</f>
        <v>125</v>
      </c>
    </row>
    <row r="6" spans="1:9" x14ac:dyDescent="0.3">
      <c r="A6">
        <v>26</v>
      </c>
      <c r="B6">
        <v>0.05</v>
      </c>
      <c r="C6">
        <f>A6*B6</f>
        <v>1.3</v>
      </c>
      <c r="D6">
        <f>(A6^2)*B6</f>
        <v>33.800000000000004</v>
      </c>
    </row>
    <row r="8" spans="1:9" x14ac:dyDescent="0.3">
      <c r="A8" t="s">
        <v>4</v>
      </c>
    </row>
    <row r="9" spans="1:9" x14ac:dyDescent="0.3">
      <c r="A9">
        <v>7</v>
      </c>
    </row>
    <row r="10" spans="1:9" x14ac:dyDescent="0.3">
      <c r="A10" t="s">
        <v>8</v>
      </c>
      <c r="B10">
        <v>5</v>
      </c>
      <c r="C10">
        <v>8</v>
      </c>
      <c r="D10">
        <f>(7 - (B10*B11) - (C10*C11)) / D11</f>
        <v>10.5</v>
      </c>
    </row>
    <row r="11" spans="1:9" x14ac:dyDescent="0.3">
      <c r="A11" t="s">
        <v>9</v>
      </c>
      <c r="B11">
        <v>0.5</v>
      </c>
      <c r="C11">
        <v>0.3</v>
      </c>
      <c r="D11">
        <f>B11-C11</f>
        <v>0.2</v>
      </c>
      <c r="E11">
        <f>SUM(B11:D11)</f>
        <v>1</v>
      </c>
    </row>
    <row r="12" spans="1:9" x14ac:dyDescent="0.3">
      <c r="A12" t="s">
        <v>10</v>
      </c>
      <c r="B12">
        <f>B10*B11</f>
        <v>2.5</v>
      </c>
      <c r="C12">
        <f>C10*C11</f>
        <v>2.4</v>
      </c>
      <c r="D12">
        <f>D10*D11</f>
        <v>2.1</v>
      </c>
      <c r="E12">
        <f>SUM(B12:D12)</f>
        <v>7</v>
      </c>
    </row>
    <row r="14" spans="1:9" x14ac:dyDescent="0.3">
      <c r="A14" t="s">
        <v>4</v>
      </c>
      <c r="B14" t="s">
        <v>11</v>
      </c>
      <c r="C14" t="s">
        <v>6</v>
      </c>
      <c r="D14" t="s">
        <v>12</v>
      </c>
      <c r="F14" t="s">
        <v>14</v>
      </c>
      <c r="G14" t="s">
        <v>13</v>
      </c>
      <c r="H14" t="s">
        <v>15</v>
      </c>
    </row>
    <row r="15" spans="1:9" x14ac:dyDescent="0.3">
      <c r="A15">
        <v>19</v>
      </c>
      <c r="B15">
        <v>31</v>
      </c>
      <c r="C15">
        <v>2.4</v>
      </c>
      <c r="D15">
        <v>1.1000000000000001</v>
      </c>
      <c r="F15">
        <f>4*A15 + 5*B15</f>
        <v>231</v>
      </c>
      <c r="G15">
        <f>16*C15+25*D15</f>
        <v>65.900000000000006</v>
      </c>
      <c r="H15">
        <f>SQRT(G15)</f>
        <v>8.1178814970409618</v>
      </c>
    </row>
    <row r="17" spans="1:8" x14ac:dyDescent="0.3">
      <c r="A17" t="s">
        <v>4</v>
      </c>
      <c r="B17" t="s">
        <v>11</v>
      </c>
      <c r="C17" t="s">
        <v>6</v>
      </c>
      <c r="D17" t="s">
        <v>12</v>
      </c>
      <c r="F17" t="s">
        <v>14</v>
      </c>
      <c r="G17" t="s">
        <v>13</v>
      </c>
      <c r="H17" t="s">
        <v>15</v>
      </c>
    </row>
    <row r="18" spans="1:8" x14ac:dyDescent="0.3">
      <c r="A18">
        <v>34</v>
      </c>
      <c r="B18">
        <v>13</v>
      </c>
      <c r="C18">
        <v>23</v>
      </c>
      <c r="D18">
        <v>40</v>
      </c>
      <c r="F18">
        <f>3*A18 - 2*B18</f>
        <v>76</v>
      </c>
      <c r="G18">
        <f>9*C18 + 4*D18</f>
        <v>367</v>
      </c>
      <c r="H18">
        <f>SQRT(G18)</f>
        <v>19.157244060668017</v>
      </c>
    </row>
    <row r="20" spans="1:8" x14ac:dyDescent="0.3">
      <c r="A20" t="s">
        <v>4</v>
      </c>
      <c r="B20" t="s">
        <v>11</v>
      </c>
      <c r="C20" t="s">
        <v>6</v>
      </c>
      <c r="D20" t="s">
        <v>12</v>
      </c>
      <c r="F20" t="s">
        <v>14</v>
      </c>
      <c r="G20" t="s">
        <v>13</v>
      </c>
      <c r="H20" t="s">
        <v>15</v>
      </c>
    </row>
    <row r="21" spans="1:8" x14ac:dyDescent="0.3">
      <c r="A21">
        <v>9.4</v>
      </c>
      <c r="B21">
        <v>2.2999999999999998</v>
      </c>
      <c r="C21">
        <v>1.1000000000000001</v>
      </c>
      <c r="D21">
        <v>1.9</v>
      </c>
      <c r="F21">
        <f>7*A21 + 4*B21</f>
        <v>75</v>
      </c>
      <c r="G21">
        <f>49*1.1 + 16*1.9</f>
        <v>84.300000000000011</v>
      </c>
      <c r="H21">
        <f>SQRT(G21)</f>
        <v>9.1815031449104243</v>
      </c>
    </row>
    <row r="23" spans="1:8" x14ac:dyDescent="0.3">
      <c r="A23" t="s">
        <v>4</v>
      </c>
      <c r="B23" t="s">
        <v>11</v>
      </c>
      <c r="C23" t="s">
        <v>6</v>
      </c>
      <c r="D23" t="s">
        <v>12</v>
      </c>
      <c r="F23" t="s">
        <v>14</v>
      </c>
      <c r="G23" t="s">
        <v>13</v>
      </c>
      <c r="H23" t="s">
        <v>15</v>
      </c>
    </row>
    <row r="24" spans="1:8" x14ac:dyDescent="0.3">
      <c r="A24">
        <v>37</v>
      </c>
      <c r="B24">
        <v>18</v>
      </c>
      <c r="C24">
        <v>29</v>
      </c>
      <c r="D24">
        <v>42</v>
      </c>
      <c r="F24">
        <f>6*A24 - 3*B24</f>
        <v>168</v>
      </c>
      <c r="G24">
        <f>36*C24 + 9*D24</f>
        <v>1422</v>
      </c>
      <c r="H24">
        <f>SQRT(G24)</f>
        <v>37.709415269929607</v>
      </c>
    </row>
    <row r="26" spans="1:8" x14ac:dyDescent="0.3">
      <c r="A26" t="s">
        <v>4</v>
      </c>
      <c r="B26" t="s">
        <v>11</v>
      </c>
      <c r="C26" t="s">
        <v>6</v>
      </c>
      <c r="D26" t="s">
        <v>12</v>
      </c>
      <c r="F26" t="s">
        <v>14</v>
      </c>
      <c r="G26" t="s">
        <v>13</v>
      </c>
      <c r="H26" t="s">
        <v>15</v>
      </c>
    </row>
    <row r="27" spans="1:8" x14ac:dyDescent="0.3">
      <c r="A27">
        <v>82</v>
      </c>
      <c r="B27">
        <v>18</v>
      </c>
      <c r="C27">
        <v>15</v>
      </c>
      <c r="D27">
        <v>5</v>
      </c>
      <c r="F27">
        <f>8*A27-5*B27 + 4</f>
        <v>570</v>
      </c>
      <c r="G27">
        <f>64*C27+25*D27</f>
        <v>1085</v>
      </c>
      <c r="H27">
        <f>SQRT(G27)</f>
        <v>32.939338184001208</v>
      </c>
    </row>
    <row r="29" spans="1:8" x14ac:dyDescent="0.3">
      <c r="A29" t="s">
        <v>4</v>
      </c>
      <c r="B29" t="s">
        <v>11</v>
      </c>
      <c r="C29" t="s">
        <v>6</v>
      </c>
      <c r="D29" t="s">
        <v>12</v>
      </c>
      <c r="F29" t="s">
        <v>14</v>
      </c>
      <c r="G29" t="s">
        <v>13</v>
      </c>
      <c r="H29" t="s">
        <v>15</v>
      </c>
    </row>
    <row r="30" spans="1:8" x14ac:dyDescent="0.3">
      <c r="A30">
        <v>9.8000000000000007</v>
      </c>
      <c r="B30">
        <v>2.6</v>
      </c>
      <c r="C30">
        <v>1.4</v>
      </c>
      <c r="D30">
        <v>1.2</v>
      </c>
      <c r="F30">
        <f>4*A30 - 9*B30 + 5</f>
        <v>20.8</v>
      </c>
      <c r="G30">
        <f>16*1.4+81*D30</f>
        <v>119.6</v>
      </c>
      <c r="H30">
        <f>SQRT(G30)</f>
        <v>10.936178491593852</v>
      </c>
    </row>
    <row r="32" spans="1:8" x14ac:dyDescent="0.3">
      <c r="A32" t="s">
        <v>8</v>
      </c>
      <c r="B32" t="s">
        <v>9</v>
      </c>
      <c r="C32" t="s">
        <v>10</v>
      </c>
      <c r="D32" t="s">
        <v>16</v>
      </c>
    </row>
    <row r="33" spans="1:4" x14ac:dyDescent="0.3">
      <c r="A33">
        <v>1</v>
      </c>
      <c r="B33">
        <v>0.20000000000000082</v>
      </c>
      <c r="C33">
        <f>A33*B33</f>
        <v>0.20000000000000082</v>
      </c>
      <c r="D33">
        <f>A33^2*B33</f>
        <v>0.20000000000000082</v>
      </c>
    </row>
    <row r="34" spans="1:4" x14ac:dyDescent="0.3">
      <c r="A34">
        <v>2</v>
      </c>
      <c r="B34">
        <v>0.29999999999999871</v>
      </c>
      <c r="C34">
        <f>A34*B34</f>
        <v>0.59999999999999742</v>
      </c>
      <c r="D34">
        <f>A34^2*B34</f>
        <v>1.1999999999999948</v>
      </c>
    </row>
    <row r="35" spans="1:4" x14ac:dyDescent="0.3">
      <c r="A35">
        <v>3</v>
      </c>
      <c r="B35">
        <v>0.50000000000000056</v>
      </c>
      <c r="C35">
        <f>A35*B35</f>
        <v>1.5000000000000018</v>
      </c>
      <c r="D35">
        <f>A35^2*B35</f>
        <v>4.5000000000000053</v>
      </c>
    </row>
    <row r="36" spans="1:4" x14ac:dyDescent="0.3">
      <c r="B36">
        <f>SUM(B33:B35)</f>
        <v>1</v>
      </c>
      <c r="C36">
        <f>SUM(C33:C35)</f>
        <v>2.2999999999999998</v>
      </c>
      <c r="D36">
        <f>SUM(D33:D35)</f>
        <v>5.9000000000000012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2026-03-25T08:53:44Z</dcterms:created>
  <dcterms:modified xsi:type="dcterms:W3CDTF">2026-03-26T11:20:22Z</dcterms:modified>
</cp:coreProperties>
</file>