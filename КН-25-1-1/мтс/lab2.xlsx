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S University Code\мтс\"/>
    </mc:Choice>
  </mc:AlternateContent>
  <xr:revisionPtr revIDLastSave="0" documentId="13_ncr:1_{B5076292-AE4D-419A-805C-6C2171A2E320}" xr6:coauthVersionLast="37" xr6:coauthVersionMax="37" xr10:uidLastSave="{00000000-0000-0000-0000-000000000000}"/>
  <bookViews>
    <workbookView xWindow="0" yWindow="0" windowWidth="17256" windowHeight="6096" xr2:uid="{586BEC48-0BB7-4844-BC39-106A020B08C3}"/>
  </bookViews>
  <sheets>
    <sheet name="Аркуш1" sheetId="1" r:id="rId1"/>
  </sheets>
  <calcPr calcId="179021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" i="1" l="1"/>
  <c r="J10" i="1"/>
  <c r="J9" i="1"/>
  <c r="K9" i="1"/>
  <c r="K8" i="1"/>
  <c r="J8" i="1"/>
  <c r="K7" i="1"/>
  <c r="J7" i="1"/>
  <c r="N6" i="1"/>
  <c r="L6" i="1"/>
  <c r="J5" i="1"/>
  <c r="J6" i="1"/>
  <c r="J4" i="1"/>
  <c r="J12" i="1"/>
  <c r="J3" i="1"/>
  <c r="G3" i="1"/>
  <c r="G4" i="1" l="1"/>
  <c r="G5" i="1"/>
  <c r="G6" i="1"/>
  <c r="G7" i="1"/>
  <c r="G8" i="1"/>
  <c r="G9" i="1"/>
  <c r="G10" i="1"/>
  <c r="G11" i="1"/>
  <c r="G12" i="1"/>
  <c r="C3" i="1"/>
  <c r="C4" i="1"/>
  <c r="C5" i="1"/>
  <c r="C6" i="1"/>
  <c r="C7" i="1"/>
  <c r="C8" i="1"/>
  <c r="C9" i="1"/>
  <c r="C10" i="1"/>
  <c r="C11" i="1"/>
  <c r="C12" i="1"/>
</calcChain>
</file>

<file path=xl/sharedStrings.xml><?xml version="1.0" encoding="utf-8"?>
<sst xmlns="http://schemas.openxmlformats.org/spreadsheetml/2006/main" count="12" uniqueCount="9">
  <si>
    <t>Сполучення</t>
  </si>
  <si>
    <t>Загальна кількість елементів</t>
  </si>
  <si>
    <t>Кількість елементів підмножини</t>
  </si>
  <si>
    <t>Кількість сполучень</t>
  </si>
  <si>
    <t>Розміщення</t>
  </si>
  <si>
    <t>Перестановки</t>
  </si>
  <si>
    <t>Кількість перестановок</t>
  </si>
  <si>
    <t>Кількість елементів</t>
  </si>
  <si>
    <t>7;4;9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</si>
</sst>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DB487-F059-4658-9E91-83DA2393999D}">
  <dimension ref="A1:N12"/>
  <sheetViews>
    <sheetView tabSelected="1" topLeftCell="F1" workbookViewId="0">
      <selection activeCell="K11" sqref="K11"/>
    </sheetView>
  </sheetViews>
  <sheetFormatPr defaultRowHeight="14.4" x14ac:dyDescent="0.3"/>
  <cols>
    <col min="1" max="1" width="25.5546875" customWidth="1"/>
    <col min="2" max="2" width="29.88671875" customWidth="1"/>
    <col min="3" max="3" width="17.77734375" customWidth="1"/>
    <col min="5" max="5" width="25.21875" customWidth="1"/>
    <col min="6" max="6" width="28.33203125" customWidth="1"/>
    <col min="7" max="7" width="18" customWidth="1"/>
    <col min="9" max="9" width="17.5546875" customWidth="1"/>
    <col min="10" max="10" width="20.44140625" customWidth="1"/>
    <col min="11" max="11" width="10" bestFit="1" customWidth="1"/>
  </cols>
  <sheetData>
    <row r="1" spans="1:14" x14ac:dyDescent="0.3">
      <c r="A1" s="2" t="s">
        <v>0</v>
      </c>
      <c r="B1" s="2"/>
      <c r="C1" s="2"/>
      <c r="E1" s="2" t="s">
        <v>4</v>
      </c>
      <c r="F1" s="2"/>
      <c r="G1" s="2"/>
      <c r="I1" s="2" t="s">
        <v>5</v>
      </c>
      <c r="J1" s="2"/>
    </row>
    <row r="2" spans="1:14" ht="16.2" customHeight="1" x14ac:dyDescent="0.3">
      <c r="A2" t="s">
        <v>1</v>
      </c>
      <c r="B2" s="1" t="s">
        <v>2</v>
      </c>
      <c r="C2" t="s">
        <v>3</v>
      </c>
      <c r="E2" t="s">
        <v>1</v>
      </c>
      <c r="F2" t="s">
        <v>2</v>
      </c>
      <c r="G2" t="s">
        <v>3</v>
      </c>
      <c r="I2" t="s">
        <v>7</v>
      </c>
      <c r="J2" t="s">
        <v>6</v>
      </c>
    </row>
    <row r="3" spans="1:14" x14ac:dyDescent="0.3">
      <c r="A3">
        <v>12</v>
      </c>
      <c r="B3">
        <v>5</v>
      </c>
      <c r="C3">
        <f>COMBIN(A3,B3)</f>
        <v>792</v>
      </c>
      <c r="E3">
        <v>12</v>
      </c>
      <c r="F3">
        <v>5</v>
      </c>
      <c r="G3">
        <f>PERMUT(E3,F3)</f>
        <v>95040</v>
      </c>
      <c r="I3">
        <v>8</v>
      </c>
      <c r="J3">
        <f>PERMUT(I3,I3)</f>
        <v>40320</v>
      </c>
    </row>
    <row r="4" spans="1:14" x14ac:dyDescent="0.3">
      <c r="A4">
        <v>9</v>
      </c>
      <c r="B4">
        <v>7</v>
      </c>
      <c r="C4">
        <f t="shared" ref="C4:C13" si="0">COMBIN(A4,B4)</f>
        <v>36</v>
      </c>
      <c r="E4">
        <v>9</v>
      </c>
      <c r="F4">
        <v>7</v>
      </c>
      <c r="G4">
        <f>PERMUT(E4,F4)</f>
        <v>181440</v>
      </c>
      <c r="I4">
        <v>8</v>
      </c>
      <c r="J4">
        <f t="shared" ref="J4:J13" si="1">PERMUT(I4,I4)</f>
        <v>40320</v>
      </c>
    </row>
    <row r="5" spans="1:14" x14ac:dyDescent="0.3">
      <c r="A5">
        <v>124</v>
      </c>
      <c r="B5">
        <v>6</v>
      </c>
      <c r="C5">
        <f t="shared" si="0"/>
        <v>4465475476</v>
      </c>
      <c r="E5">
        <v>124</v>
      </c>
      <c r="F5">
        <v>6</v>
      </c>
      <c r="G5">
        <f>PERMUT(E5,F5)</f>
        <v>3215142342720</v>
      </c>
      <c r="I5">
        <v>6</v>
      </c>
      <c r="J5">
        <f>PERMUT(I5,I5)</f>
        <v>720</v>
      </c>
    </row>
    <row r="6" spans="1:14" x14ac:dyDescent="0.3">
      <c r="A6">
        <v>56</v>
      </c>
      <c r="B6">
        <v>2</v>
      </c>
      <c r="C6">
        <f t="shared" si="0"/>
        <v>1540</v>
      </c>
      <c r="E6">
        <v>56</v>
      </c>
      <c r="F6">
        <v>2</v>
      </c>
      <c r="G6">
        <f t="shared" ref="G6:G13" si="2">PERMUT(E6,F6)</f>
        <v>3080</v>
      </c>
      <c r="I6">
        <v>8</v>
      </c>
      <c r="J6">
        <f>PERMUT(I6,I6)</f>
        <v>40320</v>
      </c>
      <c r="K6">
        <v>7</v>
      </c>
      <c r="L6">
        <f>PERMUT(I6,K6)</f>
        <v>40320</v>
      </c>
      <c r="M6">
        <v>3</v>
      </c>
      <c r="N6">
        <f>PERMUT(I6,M6)</f>
        <v>336</v>
      </c>
    </row>
    <row r="7" spans="1:14" x14ac:dyDescent="0.3">
      <c r="A7">
        <v>4</v>
      </c>
      <c r="B7">
        <v>2</v>
      </c>
      <c r="C7">
        <f t="shared" si="0"/>
        <v>6</v>
      </c>
      <c r="E7">
        <v>4</v>
      </c>
      <c r="F7">
        <v>2</v>
      </c>
      <c r="G7">
        <f t="shared" si="2"/>
        <v>12</v>
      </c>
      <c r="I7">
        <v>9</v>
      </c>
      <c r="J7">
        <f>PERMUT(I7, I7) * 10^4</f>
        <v>3628800000</v>
      </c>
      <c r="K7">
        <f>PERMUT(26, 1) * I7^4</f>
        <v>170586</v>
      </c>
    </row>
    <row r="8" spans="1:14" x14ac:dyDescent="0.3">
      <c r="A8">
        <v>8</v>
      </c>
      <c r="B8">
        <v>4</v>
      </c>
      <c r="C8">
        <f t="shared" si="0"/>
        <v>70</v>
      </c>
      <c r="E8">
        <v>8</v>
      </c>
      <c r="F8">
        <v>4</v>
      </c>
      <c r="G8">
        <f t="shared" si="2"/>
        <v>1680</v>
      </c>
      <c r="I8">
        <v>30</v>
      </c>
      <c r="J8">
        <f>PERMUT(I8, 6)</f>
        <v>427518000</v>
      </c>
      <c r="K8">
        <f>30^6</f>
        <v>729000000</v>
      </c>
    </row>
    <row r="9" spans="1:14" x14ac:dyDescent="0.3">
      <c r="A9">
        <v>6</v>
      </c>
      <c r="B9">
        <v>2</v>
      </c>
      <c r="C9">
        <f t="shared" si="0"/>
        <v>15</v>
      </c>
      <c r="E9">
        <v>6</v>
      </c>
      <c r="F9">
        <v>2</v>
      </c>
      <c r="G9">
        <f t="shared" si="2"/>
        <v>30</v>
      </c>
      <c r="I9">
        <v>6</v>
      </c>
      <c r="J9">
        <f>PERMUT(I9, I9) * PERMUT(2, 2)</f>
        <v>1440</v>
      </c>
      <c r="K9">
        <f>PERMUT(7, 7) - (PERMUT(I9, I9) * PERMUT(2, 2))</f>
        <v>3600</v>
      </c>
    </row>
    <row r="10" spans="1:14" x14ac:dyDescent="0.3">
      <c r="A10">
        <v>7</v>
      </c>
      <c r="B10">
        <v>3</v>
      </c>
      <c r="C10">
        <f t="shared" si="0"/>
        <v>35</v>
      </c>
      <c r="E10">
        <v>7</v>
      </c>
      <c r="F10">
        <v>3</v>
      </c>
      <c r="G10">
        <f t="shared" si="2"/>
        <v>210</v>
      </c>
      <c r="I10">
        <v>8</v>
      </c>
      <c r="J10">
        <f>PERMUT(I10, 5) / PERMUT(5, 5)</f>
        <v>56</v>
      </c>
    </row>
    <row r="11" spans="1:14" x14ac:dyDescent="0.3">
      <c r="A11">
        <v>2</v>
      </c>
      <c r="B11">
        <v>1</v>
      </c>
      <c r="C11">
        <f t="shared" si="0"/>
        <v>2</v>
      </c>
      <c r="E11">
        <v>2</v>
      </c>
      <c r="F11">
        <v>1</v>
      </c>
      <c r="G11">
        <f t="shared" si="2"/>
        <v>2</v>
      </c>
      <c r="I11" t="s">
        <v>8</v>
      </c>
      <c r="J11">
        <f>(PERMUT(8, 1) * PERMUT(5, 1) * PERMUT(10, 1)) - 1</f>
        <v>399</v>
      </c>
    </row>
    <row r="12" spans="1:14" x14ac:dyDescent="0.3">
      <c r="A12">
        <v>9</v>
      </c>
      <c r="B12">
        <v>2</v>
      </c>
      <c r="C12">
        <f t="shared" si="0"/>
        <v>36</v>
      </c>
      <c r="E12">
        <v>9</v>
      </c>
      <c r="F12">
        <v>2</v>
      </c>
      <c r="G12">
        <f t="shared" si="2"/>
        <v>72</v>
      </c>
      <c r="I12">
        <v>5</v>
      </c>
      <c r="J12">
        <f t="shared" si="1"/>
        <v>120</v>
      </c>
    </row>
  </sheetData>
  <mergeCells count="3">
    <mergeCell ref="A1:C1"/>
    <mergeCell ref="E1:G1"/>
    <mergeCell ref="I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2026-03-11T07:39:39Z</dcterms:created>
  <dcterms:modified xsi:type="dcterms:W3CDTF">2026-03-11T11:00:10Z</dcterms:modified>
</cp:coreProperties>
</file>