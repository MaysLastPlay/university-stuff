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S University Code\мтс\"/>
    </mc:Choice>
  </mc:AlternateContent>
  <xr:revisionPtr revIDLastSave="0" documentId="13_ncr:1_{E41BFBD7-BBAB-46EC-A899-889A4EC88224}" xr6:coauthVersionLast="37" xr6:coauthVersionMax="37" xr10:uidLastSave="{00000000-0000-0000-0000-000000000000}"/>
  <bookViews>
    <workbookView xWindow="0" yWindow="0" windowWidth="23040" windowHeight="9648" xr2:uid="{A160E7CF-EE43-4654-ACDE-7C202380A524}"/>
  </bookViews>
  <sheets>
    <sheet name="Аркуш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0" i="1" l="1"/>
  <c r="C27" i="1"/>
  <c r="C26" i="1"/>
  <c r="C25" i="1"/>
  <c r="C24" i="1"/>
  <c r="C4" i="1"/>
  <c r="C5" i="1"/>
  <c r="C6" i="1"/>
  <c r="C7" i="1"/>
  <c r="C8" i="1" s="1"/>
  <c r="C9" i="1" s="1"/>
  <c r="C10" i="1" s="1"/>
  <c r="C11" i="1" s="1"/>
  <c r="C12" i="1" s="1"/>
  <c r="C3" i="1"/>
  <c r="C2" i="1"/>
  <c r="B3" i="1"/>
  <c r="B4" i="1"/>
  <c r="B5" i="1"/>
  <c r="B6" i="1"/>
  <c r="B7" i="1"/>
  <c r="B8" i="1"/>
  <c r="B9" i="1"/>
  <c r="B10" i="1"/>
  <c r="B11" i="1"/>
  <c r="B12" i="1"/>
  <c r="B2" i="1"/>
  <c r="D13" i="1"/>
  <c r="D3" i="1"/>
  <c r="D4" i="1"/>
  <c r="D5" i="1"/>
  <c r="D6" i="1"/>
  <c r="D7" i="1"/>
  <c r="D8" i="1"/>
  <c r="D9" i="1"/>
  <c r="D10" i="1"/>
  <c r="D11" i="1"/>
  <c r="D12" i="1"/>
  <c r="D2" i="1"/>
</calcChain>
</file>

<file path=xl/sharedStrings.xml><?xml version="1.0" encoding="utf-8"?>
<sst xmlns="http://schemas.openxmlformats.org/spreadsheetml/2006/main" count="17" uniqueCount="15">
  <si>
    <t>Зріст</t>
  </si>
  <si>
    <t>Відносна частота</t>
  </si>
  <si>
    <t>Накопичена частота</t>
  </si>
  <si>
    <t>Абсолютна частота</t>
  </si>
  <si>
    <t>Значення</t>
  </si>
  <si>
    <t>Межі</t>
  </si>
  <si>
    <t>Бали</t>
  </si>
  <si>
    <t>5 – 7</t>
  </si>
  <si>
    <t>7 – 9</t>
  </si>
  <si>
    <t>9 – 11</t>
  </si>
  <si>
    <t>11 – 13</t>
  </si>
  <si>
    <t>13 – 15</t>
  </si>
  <si>
    <t>15 – 17</t>
  </si>
  <si>
    <t>Частота</t>
  </si>
  <si>
    <t>Середина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</si>
</sst>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6" fontId="0" fillId="0" borderId="0" xfId="0" applyNumberFormat="1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lotArea>
      <c:layout/>
      <c:barChart>
        <c:barDir val="bar"/>
        <c:grouping val="clustered"/>
        <c:varyColors val="0"/>
        <c:ser>
          <c:idx val="1"/>
          <c:order val="0"/>
          <c:tx>
            <c:strRef>
              <c:f>Аркуш1!$G$23</c:f>
              <c:strCache>
                <c:ptCount val="1"/>
                <c:pt idx="0">
                  <c:v>Частота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Аркуш1!$E$24:$E$30</c:f>
              <c:strCache>
                <c:ptCount val="6"/>
                <c:pt idx="0">
                  <c:v>5 – 7</c:v>
                </c:pt>
                <c:pt idx="1">
                  <c:v>7 – 9</c:v>
                </c:pt>
                <c:pt idx="2">
                  <c:v>9 – 11</c:v>
                </c:pt>
                <c:pt idx="3">
                  <c:v>11 – 13</c:v>
                </c:pt>
                <c:pt idx="4">
                  <c:v>13 – 15</c:v>
                </c:pt>
                <c:pt idx="5">
                  <c:v>15 – 17</c:v>
                </c:pt>
              </c:strCache>
            </c:strRef>
          </c:cat>
          <c:val>
            <c:numRef>
              <c:f>Аркуш1!$G$24:$G$29</c:f>
              <c:numCache>
                <c:formatCode>General</c:formatCode>
                <c:ptCount val="6"/>
                <c:pt idx="0">
                  <c:v>8</c:v>
                </c:pt>
                <c:pt idx="1">
                  <c:v>14</c:v>
                </c:pt>
                <c:pt idx="2">
                  <c:v>40</c:v>
                </c:pt>
                <c:pt idx="3">
                  <c:v>26</c:v>
                </c:pt>
                <c:pt idx="4">
                  <c:v>6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1A-46D3-92A6-80787A482B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46869455"/>
        <c:axId val="1166024655"/>
      </c:barChart>
      <c:catAx>
        <c:axId val="12468694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166024655"/>
        <c:crosses val="autoZero"/>
        <c:auto val="1"/>
        <c:lblAlgn val="ctr"/>
        <c:lblOffset val="100"/>
        <c:noMultiLvlLbl val="0"/>
      </c:catAx>
      <c:valAx>
        <c:axId val="1166024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246869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uk-UA"/>
              <a:t>Полігон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Аркуш1!$F$24:$F$29</c:f>
              <c:strCache>
                <c:ptCount val="6"/>
                <c:pt idx="0">
                  <c:v>6</c:v>
                </c:pt>
                <c:pt idx="1">
                  <c:v>8</c:v>
                </c:pt>
                <c:pt idx="2">
                  <c:v>10</c:v>
                </c:pt>
                <c:pt idx="3">
                  <c:v>12</c:v>
                </c:pt>
                <c:pt idx="4">
                  <c:v>14</c:v>
                </c:pt>
                <c:pt idx="5">
                  <c:v>16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Аркуш1!$F$24:$F$29</c:f>
              <c:numCache>
                <c:formatCode>General</c:formatCode>
                <c:ptCount val="6"/>
                <c:pt idx="0">
                  <c:v>6</c:v>
                </c:pt>
                <c:pt idx="1">
                  <c:v>8</c:v>
                </c:pt>
                <c:pt idx="2">
                  <c:v>10</c:v>
                </c:pt>
                <c:pt idx="3">
                  <c:v>12</c:v>
                </c:pt>
                <c:pt idx="4">
                  <c:v>14</c:v>
                </c:pt>
                <c:pt idx="5">
                  <c:v>16</c:v>
                </c:pt>
              </c:numCache>
            </c:numRef>
          </c:cat>
          <c:val>
            <c:numRef>
              <c:f>Аркуш1!$G$24:$G$29</c:f>
              <c:numCache>
                <c:formatCode>General</c:formatCode>
                <c:ptCount val="6"/>
                <c:pt idx="0">
                  <c:v>8</c:v>
                </c:pt>
                <c:pt idx="1">
                  <c:v>14</c:v>
                </c:pt>
                <c:pt idx="2">
                  <c:v>40</c:v>
                </c:pt>
                <c:pt idx="3">
                  <c:v>26</c:v>
                </c:pt>
                <c:pt idx="4">
                  <c:v>6</c:v>
                </c:pt>
                <c:pt idx="5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3AC-4262-8062-6A7BD15F37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6749567"/>
        <c:axId val="787212399"/>
      </c:lineChart>
      <c:catAx>
        <c:axId val="1196749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787212399"/>
        <c:crosses val="autoZero"/>
        <c:auto val="1"/>
        <c:lblAlgn val="ctr"/>
        <c:lblOffset val="100"/>
        <c:noMultiLvlLbl val="0"/>
      </c:catAx>
      <c:valAx>
        <c:axId val="787212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1967495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30</xdr:row>
      <xdr:rowOff>0</xdr:rowOff>
    </xdr:from>
    <xdr:to>
      <xdr:col>10</xdr:col>
      <xdr:colOff>556260</xdr:colOff>
      <xdr:row>44</xdr:row>
      <xdr:rowOff>45720</xdr:rowOff>
    </xdr:to>
    <xdr:graphicFrame macro="">
      <xdr:nvGraphicFramePr>
        <xdr:cNvPr id="2" name="Діаграма 1">
          <a:extLst>
            <a:ext uri="{FF2B5EF4-FFF2-40B4-BE49-F238E27FC236}">
              <a16:creationId xmlns:a16="http://schemas.microsoft.com/office/drawing/2014/main" id="{3F47F23F-85EB-46D8-8706-D2E0D87256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</xdr:colOff>
      <xdr:row>17</xdr:row>
      <xdr:rowOff>7620</xdr:rowOff>
    </xdr:from>
    <xdr:to>
      <xdr:col>13</xdr:col>
      <xdr:colOff>205740</xdr:colOff>
      <xdr:row>29</xdr:row>
      <xdr:rowOff>175260</xdr:rowOff>
    </xdr:to>
    <xdr:graphicFrame macro="">
      <xdr:nvGraphicFramePr>
        <xdr:cNvPr id="3" name="Діаграма 2">
          <a:extLst>
            <a:ext uri="{FF2B5EF4-FFF2-40B4-BE49-F238E27FC236}">
              <a16:creationId xmlns:a16="http://schemas.microsoft.com/office/drawing/2014/main" id="{3F41C03B-F6B3-47E2-AEEC-3A52A86B14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AE2D1-98AA-46C6-9775-E3A4EA5B4BB2}">
  <dimension ref="A1:G33"/>
  <sheetViews>
    <sheetView tabSelected="1" topLeftCell="E15" workbookViewId="0">
      <selection activeCell="O24" sqref="O24"/>
    </sheetView>
  </sheetViews>
  <sheetFormatPr defaultRowHeight="14.4" x14ac:dyDescent="0.3"/>
  <cols>
    <col min="2" max="2" width="15.5546875" customWidth="1"/>
    <col min="3" max="3" width="17.77734375" customWidth="1"/>
    <col min="4" max="4" width="17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F1" t="s">
        <v>4</v>
      </c>
    </row>
    <row r="2" spans="1:6" x14ac:dyDescent="0.3">
      <c r="A2">
        <v>167</v>
      </c>
      <c r="B2">
        <f>D2/$D$13</f>
        <v>0.05</v>
      </c>
      <c r="C2">
        <f>B2</f>
        <v>0.05</v>
      </c>
      <c r="D2">
        <f>COUNTIF($F$2:$F$21, A2)</f>
        <v>1</v>
      </c>
      <c r="F2">
        <v>181</v>
      </c>
    </row>
    <row r="3" spans="1:6" x14ac:dyDescent="0.3">
      <c r="A3">
        <v>168</v>
      </c>
      <c r="B3">
        <f t="shared" ref="B3:B12" si="0">D3/$D$13</f>
        <v>0.05</v>
      </c>
      <c r="C3">
        <f>C2+B3</f>
        <v>0.1</v>
      </c>
      <c r="D3">
        <f t="shared" ref="D3:D12" si="1">COUNTIF($F$2:$F$21, A3)</f>
        <v>1</v>
      </c>
      <c r="F3">
        <v>169</v>
      </c>
    </row>
    <row r="4" spans="1:6" x14ac:dyDescent="0.3">
      <c r="A4">
        <v>169</v>
      </c>
      <c r="B4">
        <f t="shared" si="0"/>
        <v>0.1</v>
      </c>
      <c r="C4">
        <f t="shared" ref="C4:C12" si="2">C3+B4</f>
        <v>0.2</v>
      </c>
      <c r="D4">
        <f t="shared" si="1"/>
        <v>2</v>
      </c>
      <c r="F4">
        <v>178</v>
      </c>
    </row>
    <row r="5" spans="1:6" x14ac:dyDescent="0.3">
      <c r="A5">
        <v>171</v>
      </c>
      <c r="B5">
        <f t="shared" si="0"/>
        <v>0.1</v>
      </c>
      <c r="C5">
        <f t="shared" si="2"/>
        <v>0.30000000000000004</v>
      </c>
      <c r="D5">
        <f t="shared" si="1"/>
        <v>2</v>
      </c>
      <c r="F5">
        <v>178</v>
      </c>
    </row>
    <row r="6" spans="1:6" x14ac:dyDescent="0.3">
      <c r="A6">
        <v>172</v>
      </c>
      <c r="B6">
        <f t="shared" si="0"/>
        <v>0.1</v>
      </c>
      <c r="C6">
        <f t="shared" si="2"/>
        <v>0.4</v>
      </c>
      <c r="D6">
        <f t="shared" si="1"/>
        <v>2</v>
      </c>
      <c r="F6">
        <v>171</v>
      </c>
    </row>
    <row r="7" spans="1:6" x14ac:dyDescent="0.3">
      <c r="A7">
        <v>174</v>
      </c>
      <c r="B7">
        <f t="shared" si="0"/>
        <v>0.05</v>
      </c>
      <c r="C7">
        <f t="shared" si="2"/>
        <v>0.45</v>
      </c>
      <c r="D7">
        <f t="shared" si="1"/>
        <v>1</v>
      </c>
      <c r="F7">
        <v>179</v>
      </c>
    </row>
    <row r="8" spans="1:6" x14ac:dyDescent="0.3">
      <c r="A8">
        <v>176</v>
      </c>
      <c r="B8">
        <f t="shared" si="0"/>
        <v>0.05</v>
      </c>
      <c r="C8">
        <f t="shared" si="2"/>
        <v>0.5</v>
      </c>
      <c r="D8">
        <f t="shared" si="1"/>
        <v>1</v>
      </c>
      <c r="F8">
        <v>172</v>
      </c>
    </row>
    <row r="9" spans="1:6" x14ac:dyDescent="0.3">
      <c r="A9">
        <v>178</v>
      </c>
      <c r="B9">
        <f t="shared" si="0"/>
        <v>0.1</v>
      </c>
      <c r="C9">
        <f t="shared" si="2"/>
        <v>0.6</v>
      </c>
      <c r="D9">
        <f t="shared" si="1"/>
        <v>2</v>
      </c>
      <c r="F9">
        <v>181</v>
      </c>
    </row>
    <row r="10" spans="1:6" x14ac:dyDescent="0.3">
      <c r="A10">
        <v>179</v>
      </c>
      <c r="B10">
        <f t="shared" si="0"/>
        <v>0.15</v>
      </c>
      <c r="C10">
        <f t="shared" si="2"/>
        <v>0.75</v>
      </c>
      <c r="D10">
        <f t="shared" si="1"/>
        <v>3</v>
      </c>
      <c r="F10">
        <v>179</v>
      </c>
    </row>
    <row r="11" spans="1:6" x14ac:dyDescent="0.3">
      <c r="A11">
        <v>181</v>
      </c>
      <c r="B11">
        <f t="shared" si="0"/>
        <v>0.2</v>
      </c>
      <c r="C11">
        <f t="shared" si="2"/>
        <v>0.95</v>
      </c>
      <c r="D11">
        <f t="shared" si="1"/>
        <v>4</v>
      </c>
      <c r="F11">
        <v>168</v>
      </c>
    </row>
    <row r="12" spans="1:6" x14ac:dyDescent="0.3">
      <c r="A12">
        <v>183</v>
      </c>
      <c r="B12">
        <f t="shared" si="0"/>
        <v>0.05</v>
      </c>
      <c r="C12">
        <f t="shared" si="2"/>
        <v>1</v>
      </c>
      <c r="D12">
        <f t="shared" si="1"/>
        <v>1</v>
      </c>
      <c r="F12">
        <v>174</v>
      </c>
    </row>
    <row r="13" spans="1:6" x14ac:dyDescent="0.3">
      <c r="D13">
        <f>SUM(D2:D12)</f>
        <v>20</v>
      </c>
      <c r="F13">
        <v>167</v>
      </c>
    </row>
    <row r="14" spans="1:6" x14ac:dyDescent="0.3">
      <c r="F14">
        <v>169</v>
      </c>
    </row>
    <row r="15" spans="1:6" x14ac:dyDescent="0.3">
      <c r="F15">
        <v>171</v>
      </c>
    </row>
    <row r="16" spans="1:6" x14ac:dyDescent="0.3">
      <c r="F16">
        <v>179</v>
      </c>
    </row>
    <row r="17" spans="1:7" x14ac:dyDescent="0.3">
      <c r="F17">
        <v>181</v>
      </c>
    </row>
    <row r="18" spans="1:7" x14ac:dyDescent="0.3">
      <c r="F18">
        <v>181</v>
      </c>
    </row>
    <row r="19" spans="1:7" x14ac:dyDescent="0.3">
      <c r="F19">
        <v>183</v>
      </c>
    </row>
    <row r="20" spans="1:7" x14ac:dyDescent="0.3">
      <c r="F20">
        <v>172</v>
      </c>
    </row>
    <row r="21" spans="1:7" x14ac:dyDescent="0.3">
      <c r="F21">
        <v>176</v>
      </c>
    </row>
    <row r="23" spans="1:7" x14ac:dyDescent="0.3">
      <c r="A23" t="s">
        <v>6</v>
      </c>
      <c r="B23" t="s">
        <v>5</v>
      </c>
      <c r="C23" t="s">
        <v>3</v>
      </c>
      <c r="E23" t="s">
        <v>5</v>
      </c>
      <c r="F23" t="s">
        <v>14</v>
      </c>
      <c r="G23" t="s">
        <v>13</v>
      </c>
    </row>
    <row r="24" spans="1:7" x14ac:dyDescent="0.3">
      <c r="A24" s="1">
        <v>79</v>
      </c>
      <c r="B24">
        <v>70</v>
      </c>
      <c r="C24">
        <f>COUNTIF($A$24:$A$33, "&lt;=70")</f>
        <v>0</v>
      </c>
      <c r="E24" s="2" t="s">
        <v>7</v>
      </c>
      <c r="F24">
        <v>6</v>
      </c>
      <c r="G24">
        <v>8</v>
      </c>
    </row>
    <row r="25" spans="1:7" x14ac:dyDescent="0.3">
      <c r="A25" s="1">
        <v>85</v>
      </c>
      <c r="B25">
        <v>80</v>
      </c>
      <c r="C25">
        <f>COUNTIFS($A$24:$A$33, "&gt;70", $A$24:$A$33, "&lt;=80")</f>
        <v>2</v>
      </c>
      <c r="E25" t="s">
        <v>8</v>
      </c>
      <c r="F25">
        <v>8</v>
      </c>
      <c r="G25">
        <v>14</v>
      </c>
    </row>
    <row r="26" spans="1:7" x14ac:dyDescent="0.3">
      <c r="A26" s="1">
        <v>78</v>
      </c>
      <c r="B26">
        <v>90</v>
      </c>
      <c r="C26">
        <f>COUNTIFS($A$24:$A$33, "&gt;80", $A$24:$A$33, "&lt;=90")</f>
        <v>6</v>
      </c>
      <c r="E26" t="s">
        <v>9</v>
      </c>
      <c r="F26">
        <v>10</v>
      </c>
      <c r="G26">
        <v>40</v>
      </c>
    </row>
    <row r="27" spans="1:7" x14ac:dyDescent="0.3">
      <c r="A27" s="1">
        <v>85</v>
      </c>
      <c r="B27">
        <v>100</v>
      </c>
      <c r="C27">
        <f>COUNTIFS($A$24:$A$33, "&gt;90", $A$24:$A$33, "&lt;=100")</f>
        <v>2</v>
      </c>
      <c r="E27" t="s">
        <v>10</v>
      </c>
      <c r="F27">
        <v>12</v>
      </c>
      <c r="G27">
        <v>26</v>
      </c>
    </row>
    <row r="28" spans="1:7" x14ac:dyDescent="0.3">
      <c r="A28" s="1">
        <v>83</v>
      </c>
      <c r="E28" t="s">
        <v>11</v>
      </c>
      <c r="F28">
        <v>14</v>
      </c>
      <c r="G28">
        <v>6</v>
      </c>
    </row>
    <row r="29" spans="1:7" x14ac:dyDescent="0.3">
      <c r="A29" s="1">
        <v>81</v>
      </c>
      <c r="E29" t="s">
        <v>12</v>
      </c>
      <c r="F29">
        <v>16</v>
      </c>
      <c r="G29">
        <v>4</v>
      </c>
    </row>
    <row r="30" spans="1:7" x14ac:dyDescent="0.3">
      <c r="A30" s="1">
        <v>95</v>
      </c>
      <c r="G30">
        <f>SUM(G24:G29)</f>
        <v>98</v>
      </c>
    </row>
    <row r="31" spans="1:7" x14ac:dyDescent="0.3">
      <c r="A31" s="1">
        <v>88</v>
      </c>
    </row>
    <row r="32" spans="1:7" x14ac:dyDescent="0.3">
      <c r="A32" s="1">
        <v>97</v>
      </c>
    </row>
    <row r="33" spans="1:1" x14ac:dyDescent="0.3">
      <c r="A33" s="1">
        <v>85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2026-05-06T10:11:10Z</dcterms:created>
  <dcterms:modified xsi:type="dcterms:W3CDTF">2026-05-06T16:05:03Z</dcterms:modified>
</cp:coreProperties>
</file>