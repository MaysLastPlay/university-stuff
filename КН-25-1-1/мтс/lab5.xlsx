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 University Code\мтс\"/>
    </mc:Choice>
  </mc:AlternateContent>
  <xr:revisionPtr revIDLastSave="0" documentId="13_ncr:1_{2AB62683-26BB-4F49-B65F-C51C508DDCEE}" xr6:coauthVersionLast="37" xr6:coauthVersionMax="37" xr10:uidLastSave="{00000000-0000-0000-0000-000000000000}"/>
  <bookViews>
    <workbookView xWindow="0" yWindow="0" windowWidth="23040" windowHeight="9648" xr2:uid="{1CB9BAFE-6983-46C1-B541-3FB34EE671B1}"/>
  </bookViews>
  <sheets>
    <sheet name="Аркуш1" sheetId="1" r:id="rId1"/>
  </sheets>
  <definedNames>
    <definedName name="_xlchart.v1.0" hidden="1">Аркуш1!$C$1</definedName>
    <definedName name="_xlchart.v1.1" hidden="1">Аркуш1!$C$2:$C$12</definedName>
    <definedName name="_xlchart.v1.2" hidden="1">Аркуш1!$D$1</definedName>
    <definedName name="_xlchart.v1.3" hidden="1">Аркуш1!$D$2:$D$12</definedName>
    <definedName name="_xlchart.v1.4" hidden="1">Аркуш1!$C$1</definedName>
    <definedName name="_xlchart.v1.5" hidden="1">Аркуш1!$C$2:$C$12</definedName>
    <definedName name="_xlchart.v1.6" hidden="1">Аркуш1!$D$1</definedName>
    <definedName name="_xlchart.v1.7" hidden="1">Аркуш1!$D$2:$D$12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O7" i="1"/>
  <c r="B18" i="1"/>
  <c r="B17" i="1"/>
  <c r="O11" i="1"/>
  <c r="O12" i="1"/>
  <c r="O10" i="1"/>
  <c r="O9" i="1"/>
  <c r="O8" i="1"/>
  <c r="O5" i="1"/>
  <c r="O4" i="1"/>
  <c r="O3" i="1"/>
  <c r="O2" i="1"/>
  <c r="D12" i="1"/>
  <c r="D11" i="1"/>
  <c r="D10" i="1"/>
  <c r="D9" i="1"/>
  <c r="D8" i="1"/>
  <c r="D7" i="1"/>
  <c r="D6" i="1"/>
  <c r="D5" i="1"/>
  <c r="D4" i="1"/>
  <c r="D3" i="1"/>
  <c r="D2" i="1"/>
  <c r="A4" i="1"/>
  <c r="A2" i="1"/>
</calcChain>
</file>

<file path=xl/sharedStrings.xml><?xml version="1.0" encoding="utf-8"?>
<sst xmlns="http://schemas.openxmlformats.org/spreadsheetml/2006/main" count="10" uniqueCount="8">
  <si>
    <t>x</t>
  </si>
  <si>
    <t>f</t>
  </si>
  <si>
    <t>2-</t>
  </si>
  <si>
    <t>1-</t>
  </si>
  <si>
    <t>3-</t>
  </si>
  <si>
    <t xml:space="preserve">4- </t>
  </si>
  <si>
    <t>5-</t>
  </si>
  <si>
    <t>6-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</si>
</sst>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Аркуш1!$D$1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Аркуш1!$D$2:$D$12</c:f>
              <c:numCache>
                <c:formatCode>General</c:formatCode>
                <c:ptCount val="11"/>
                <c:pt idx="0">
                  <c:v>9.765625E-4</c:v>
                </c:pt>
                <c:pt idx="1">
                  <c:v>9.7656250000000017E-3</c:v>
                </c:pt>
                <c:pt idx="2">
                  <c:v>4.3945312499999972E-2</c:v>
                </c:pt>
                <c:pt idx="3">
                  <c:v>0.11718750000000003</c:v>
                </c:pt>
                <c:pt idx="4">
                  <c:v>0.20507812500000006</c:v>
                </c:pt>
                <c:pt idx="5">
                  <c:v>0.24609375000000008</c:v>
                </c:pt>
                <c:pt idx="6">
                  <c:v>0.24609375000000008</c:v>
                </c:pt>
                <c:pt idx="7">
                  <c:v>0.11718750000000003</c:v>
                </c:pt>
                <c:pt idx="8">
                  <c:v>4.3945312499999986E-2</c:v>
                </c:pt>
                <c:pt idx="9">
                  <c:v>9.7656250000000017E-3</c:v>
                </c:pt>
                <c:pt idx="10">
                  <c:v>9.765625E-4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9E-47DF-A90E-D5F1B8410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424927"/>
        <c:axId val="101047023"/>
      </c:lineChart>
      <c:catAx>
        <c:axId val="150424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01047023"/>
        <c:crosses val="autoZero"/>
        <c:auto val="1"/>
        <c:lblAlgn val="ctr"/>
        <c:lblOffset val="100"/>
        <c:noMultiLvlLbl val="0"/>
      </c:catAx>
      <c:valAx>
        <c:axId val="10104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5042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Аркуш1!$O$1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Аркуш1!$O$2:$O$12</c:f>
              <c:numCache>
                <c:formatCode>General</c:formatCode>
                <c:ptCount val="11"/>
                <c:pt idx="0">
                  <c:v>0.1073741824</c:v>
                </c:pt>
                <c:pt idx="1">
                  <c:v>0.3758096384000002</c:v>
                </c:pt>
                <c:pt idx="2">
                  <c:v>0.67779952639999996</c:v>
                </c:pt>
                <c:pt idx="3">
                  <c:v>0.87912611839999999</c:v>
                </c:pt>
                <c:pt idx="4">
                  <c:v>0.96720650240000006</c:v>
                </c:pt>
                <c:pt idx="5">
                  <c:v>0.99363061760000004</c:v>
                </c:pt>
                <c:pt idx="6">
                  <c:v>0.99363061760000004</c:v>
                </c:pt>
                <c:pt idx="7">
                  <c:v>0.99992207360000007</c:v>
                </c:pt>
                <c:pt idx="8">
                  <c:v>0.99999580160000001</c:v>
                </c:pt>
                <c:pt idx="9">
                  <c:v>0.99999989759999997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A9-47FC-9CCD-372387CC5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0624911"/>
        <c:axId val="178778911"/>
      </c:lineChart>
      <c:catAx>
        <c:axId val="206062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78778911"/>
        <c:crosses val="autoZero"/>
        <c:auto val="1"/>
        <c:lblAlgn val="ctr"/>
        <c:lblOffset val="100"/>
        <c:noMultiLvlLbl val="0"/>
      </c:catAx>
      <c:valAx>
        <c:axId val="17877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06062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0</xdr:rowOff>
    </xdr:from>
    <xdr:to>
      <xdr:col>11</xdr:col>
      <xdr:colOff>327660</xdr:colOff>
      <xdr:row>15</xdr:row>
      <xdr:rowOff>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600C2C5B-5D10-48FC-8165-650077F18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22860</xdr:colOff>
      <xdr:row>0</xdr:row>
      <xdr:rowOff>0</xdr:rowOff>
    </xdr:from>
    <xdr:to>
      <xdr:col>22</xdr:col>
      <xdr:colOff>327660</xdr:colOff>
      <xdr:row>15</xdr:row>
      <xdr:rowOff>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E65BA05E-502A-481C-AE08-929529214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AA19-63E1-479A-8AAD-B2207769BE3E}">
  <dimension ref="A1:O18"/>
  <sheetViews>
    <sheetView tabSelected="1" workbookViewId="0">
      <selection activeCell="O12" sqref="O12"/>
    </sheetView>
  </sheetViews>
  <sheetFormatPr defaultRowHeight="14.4" x14ac:dyDescent="0.3"/>
  <sheetData>
    <row r="1" spans="1:15" x14ac:dyDescent="0.3">
      <c r="A1" s="1" t="s">
        <v>3</v>
      </c>
      <c r="B1" t="s">
        <v>4</v>
      </c>
      <c r="C1" t="s">
        <v>0</v>
      </c>
      <c r="D1" t="s">
        <v>1</v>
      </c>
      <c r="M1" t="s">
        <v>5</v>
      </c>
      <c r="N1" t="s">
        <v>0</v>
      </c>
      <c r="O1" t="s">
        <v>1</v>
      </c>
    </row>
    <row r="2" spans="1:15" x14ac:dyDescent="0.3">
      <c r="A2">
        <f>_xlfn.BINOM.DIST(8,10,0.5,0)</f>
        <v>4.3945312499999986E-2</v>
      </c>
      <c r="C2">
        <v>0</v>
      </c>
      <c r="D2">
        <f>_xlfn.BINOM.DIST(0,10,0.5,0)</f>
        <v>9.765625E-4</v>
      </c>
      <c r="N2">
        <v>0</v>
      </c>
      <c r="O2">
        <f>_xlfn.BINOM.DIST(0,10,0.2,1)</f>
        <v>0.1073741824</v>
      </c>
    </row>
    <row r="3" spans="1:15" x14ac:dyDescent="0.3">
      <c r="A3" s="1" t="s">
        <v>2</v>
      </c>
      <c r="C3">
        <v>1</v>
      </c>
      <c r="D3">
        <f>_xlfn.BINOM.DIST(1,10,0.5,0)</f>
        <v>9.7656250000000017E-3</v>
      </c>
      <c r="N3">
        <v>1</v>
      </c>
      <c r="O3">
        <f>_xlfn.BINOM.DIST(1,10,0.2,1)</f>
        <v>0.3758096384000002</v>
      </c>
    </row>
    <row r="4" spans="1:15" x14ac:dyDescent="0.3">
      <c r="A4">
        <f>_xlfn.BINOM.DIST(6,10,0.5,0)</f>
        <v>0.20507812500000006</v>
      </c>
      <c r="C4">
        <v>2</v>
      </c>
      <c r="D4">
        <f>_xlfn.BINOM.DIST(2,10,0.5,0)</f>
        <v>4.3945312499999972E-2</v>
      </c>
      <c r="N4">
        <v>2</v>
      </c>
      <c r="O4">
        <f>_xlfn.BINOM.DIST(2,10,0.2,1)</f>
        <v>0.67779952639999996</v>
      </c>
    </row>
    <row r="5" spans="1:15" x14ac:dyDescent="0.3">
      <c r="C5">
        <v>3</v>
      </c>
      <c r="D5">
        <f>_xlfn.BINOM.DIST(3,10,0.5,0)</f>
        <v>0.11718750000000003</v>
      </c>
      <c r="N5">
        <v>3</v>
      </c>
      <c r="O5">
        <f>_xlfn.BINOM.DIST(3,10,0.2,1)</f>
        <v>0.87912611839999999</v>
      </c>
    </row>
    <row r="6" spans="1:15" x14ac:dyDescent="0.3">
      <c r="C6">
        <v>4</v>
      </c>
      <c r="D6">
        <f>_xlfn.BINOM.DIST(4,10,0.5,0)</f>
        <v>0.20507812500000006</v>
      </c>
      <c r="N6">
        <v>4</v>
      </c>
      <c r="O6">
        <f>_xlfn.BINOM.DIST(4,10,0.2,1)</f>
        <v>0.96720650240000006</v>
      </c>
    </row>
    <row r="7" spans="1:15" x14ac:dyDescent="0.3">
      <c r="C7">
        <v>5</v>
      </c>
      <c r="D7">
        <f>_xlfn.BINOM.DIST(5,10,0.5,0)</f>
        <v>0.24609375000000008</v>
      </c>
      <c r="N7">
        <v>5</v>
      </c>
      <c r="O7">
        <f>_xlfn.BINOM.DIST(5,10,0.2,1)</f>
        <v>0.99363061760000004</v>
      </c>
    </row>
    <row r="8" spans="1:15" x14ac:dyDescent="0.3">
      <c r="C8">
        <v>6</v>
      </c>
      <c r="D8">
        <f>_xlfn.BINOM.DIST(5,10,0.5,0)</f>
        <v>0.24609375000000008</v>
      </c>
      <c r="N8">
        <v>6</v>
      </c>
      <c r="O8">
        <f>_xlfn.BINOM.DIST(5,10,0.2,1)</f>
        <v>0.99363061760000004</v>
      </c>
    </row>
    <row r="9" spans="1:15" x14ac:dyDescent="0.3">
      <c r="C9">
        <v>7</v>
      </c>
      <c r="D9">
        <f>_xlfn.BINOM.DIST(7,10,0.5,0)</f>
        <v>0.11718750000000003</v>
      </c>
      <c r="N9">
        <v>7</v>
      </c>
      <c r="O9">
        <f>_xlfn.BINOM.DIST(7,10,0.2,1)</f>
        <v>0.99992207360000007</v>
      </c>
    </row>
    <row r="10" spans="1:15" x14ac:dyDescent="0.3">
      <c r="C10">
        <v>8</v>
      </c>
      <c r="D10">
        <f>_xlfn.BINOM.DIST(8,10,0.5,0)</f>
        <v>4.3945312499999986E-2</v>
      </c>
      <c r="N10">
        <v>8</v>
      </c>
      <c r="O10">
        <f>_xlfn.BINOM.DIST(8,10,0.2,1)</f>
        <v>0.99999580160000001</v>
      </c>
    </row>
    <row r="11" spans="1:15" x14ac:dyDescent="0.3">
      <c r="C11">
        <v>9</v>
      </c>
      <c r="D11">
        <f>_xlfn.BINOM.DIST(9,10,0.5,0)</f>
        <v>9.7656250000000017E-3</v>
      </c>
      <c r="N11">
        <v>9</v>
      </c>
      <c r="O11">
        <f>_xlfn.BINOM.DIST(9,10,0.2,1)</f>
        <v>0.99999989759999997</v>
      </c>
    </row>
    <row r="12" spans="1:15" x14ac:dyDescent="0.3">
      <c r="C12">
        <v>10</v>
      </c>
      <c r="D12">
        <f>_xlfn.BINOM.DIST(10,10,0.5,0)</f>
        <v>9.765625E-4</v>
      </c>
      <c r="N12">
        <v>10</v>
      </c>
      <c r="O12">
        <f>_xlfn.BINOM.DIST(10,10,0.2,1)</f>
        <v>1</v>
      </c>
    </row>
    <row r="17" spans="1:2" x14ac:dyDescent="0.3">
      <c r="A17" t="s">
        <v>6</v>
      </c>
      <c r="B17">
        <f>1 - _xlfn.BINOM.DIST(0,20,0.1,0)</f>
        <v>0.87842334540943079</v>
      </c>
    </row>
    <row r="18" spans="1:2" x14ac:dyDescent="0.3">
      <c r="A18" t="s">
        <v>7</v>
      </c>
      <c r="B18">
        <f>_xlfn.BINOM.INV(6,0.5,0.75)</f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2026-04-23T07:44:55Z</dcterms:created>
  <dcterms:modified xsi:type="dcterms:W3CDTF">2026-04-23T08:38:13Z</dcterms:modified>
</cp:coreProperties>
</file>